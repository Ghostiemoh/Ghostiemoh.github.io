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8714f1f76dc85e/Documents/"/>
    </mc:Choice>
  </mc:AlternateContent>
  <xr:revisionPtr revIDLastSave="10" documentId="13_ncr:1_{FC9B3ED3-0B66-412F-80D7-79C27D68DB47}" xr6:coauthVersionLast="47" xr6:coauthVersionMax="47" xr10:uidLastSave="{A64C926D-CF75-4C9D-8850-AC983245C275}"/>
  <bookViews>
    <workbookView xWindow="-120" yWindow="-120" windowWidth="20730" windowHeight="11760" activeTab="2" xr2:uid="{71C2FE15-DC12-4841-8DFA-E826036EEA02}"/>
  </bookViews>
  <sheets>
    <sheet name="Data" sheetId="40" r:id="rId1"/>
    <sheet name="Pivot Table" sheetId="39" r:id="rId2"/>
    <sheet name="Dashbord" sheetId="41" r:id="rId3"/>
  </sheets>
  <externalReferences>
    <externalReference r:id="rId4"/>
    <externalReference r:id="rId5"/>
  </externalReferences>
  <definedNames>
    <definedName name="_xlnm.Print_Area" localSheetId="2">Dashbord!$A$1:$O$34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0" l="1" a="1"/>
  <c r="I2" i="4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<sst xmlns="http://schemas.openxmlformats.org/spreadsheetml/2006/main" count="143" uniqueCount="35">
  <si>
    <t>Grand Total</t>
  </si>
  <si>
    <t>Sum of Abandoned Calls</t>
  </si>
  <si>
    <t>Average of Incoming Calls</t>
  </si>
  <si>
    <t>Average of Service Level (20 Seconds)</t>
  </si>
  <si>
    <t>Answer Rate %</t>
  </si>
  <si>
    <t>Total Answered Calls</t>
  </si>
  <si>
    <t>Call Count</t>
  </si>
  <si>
    <t>Customer Care Name</t>
  </si>
  <si>
    <t>Row Labels</t>
  </si>
  <si>
    <t>Sum of Average of Incoming Calls</t>
  </si>
  <si>
    <t>Average of Total Answered Calls</t>
  </si>
  <si>
    <t>Alexander Singh</t>
  </si>
  <si>
    <t>Amelia Lopez</t>
  </si>
  <si>
    <t>Ava Kowalski</t>
  </si>
  <si>
    <t>Benjamin Fischer</t>
  </si>
  <si>
    <t>Charlotte Brown</t>
  </si>
  <si>
    <t>Daniel Garcia</t>
  </si>
  <si>
    <t>Elijah Wilson</t>
  </si>
  <si>
    <t>Emma Thompson</t>
  </si>
  <si>
    <t>Ethan Nguyen</t>
  </si>
  <si>
    <t>Evelyn Sato</t>
  </si>
  <si>
    <t>Harper Khan</t>
  </si>
  <si>
    <t>Isabella Kim</t>
  </si>
  <si>
    <t>James Morgan</t>
  </si>
  <si>
    <t>Liam Rodriguez</t>
  </si>
  <si>
    <t>Lucas Davis</t>
  </si>
  <si>
    <t>Mason O'Connor</t>
  </si>
  <si>
    <t>Mia Alvarez</t>
  </si>
  <si>
    <t>Noah Patel</t>
  </si>
  <si>
    <t>Olivia Chen</t>
  </si>
  <si>
    <t>Sophia Martinez</t>
  </si>
  <si>
    <t>Sum of Answer Rate %</t>
  </si>
  <si>
    <t>Sum of Call Count</t>
  </si>
  <si>
    <t>Sum of Sum of Abandoned Calls</t>
  </si>
  <si>
    <t>CALL CENTER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</si>
</sst>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4"/>
      <color theme="0"/>
      <name val="ADLaM Display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0" fontId="0" fillId="34" borderId="0" xfId="0" applyFill="1"/>
    <xf numFmtId="0" fontId="0" fillId="35" borderId="0" xfId="0" applyFill="1"/>
    <xf numFmtId="0" fontId="18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Call Volume vs Answer Rate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Incoming Calls</c:v>
          </c:tx>
          <c:invertIfNegative val="0"/>
          <c:cat>
            <c:strRef>
              <c:f>[1]Data!$A$2:$A$22</c:f>
              <c:strCache>
                <c:ptCount val="21"/>
                <c:pt idx="0">
                  <c:v>Frodo Baggins</c:v>
                </c:pt>
                <c:pt idx="1">
                  <c:v>Abed Nadir</c:v>
                </c:pt>
                <c:pt idx="2">
                  <c:v>Walter /White</c:v>
                </c:pt>
                <c:pt idx="3">
                  <c:v>Dwight Schrute</c:v>
                </c:pt>
                <c:pt idx="4">
                  <c:v>Jon Snow</c:v>
                </c:pt>
                <c:pt idx="5">
                  <c:v>Ron Swanson</c:v>
                </c:pt>
                <c:pt idx="6">
                  <c:v>Jeff   Winger</c:v>
                </c:pt>
                <c:pt idx="7">
                  <c:v>Sherlock Holmes</c:v>
                </c:pt>
                <c:pt idx="8">
                  <c:v>Gandalf </c:v>
                </c:pt>
                <c:pt idx="9">
                  <c:v>Peter Parker</c:v>
                </c:pt>
                <c:pt idx="10">
                  <c:v>Samwise Gamgee</c:v>
                </c:pt>
                <c:pt idx="11">
                  <c:v>Harry ...Potter</c:v>
                </c:pt>
                <c:pt idx="12">
                  <c:v>Don Draper</c:v>
                </c:pt>
                <c:pt idx="13">
                  <c:v>Leslie Knope</c:v>
                </c:pt>
                <c:pt idx="14">
                  <c:v>Toby Flenderson_</c:v>
                </c:pt>
                <c:pt idx="15">
                  <c:v>Ron Weasley</c:v>
                </c:pt>
                <c:pt idx="16">
                  <c:v>Michael  Scott</c:v>
                </c:pt>
                <c:pt idx="17">
                  <c:v>Clark Kent</c:v>
                </c:pt>
                <c:pt idx="18">
                  <c:v>Creed Braton</c:v>
                </c:pt>
                <c:pt idx="19">
                  <c:v>Anakin Skywalker</c:v>
                </c:pt>
                <c:pt idx="20">
                  <c:v>Grand Total</c:v>
                </c:pt>
              </c:strCache>
            </c:strRef>
          </c:cat>
          <c:val>
            <c:numRef>
              <c:f>[1]Data!$G$2:$G$22</c:f>
              <c:numCache>
                <c:formatCode>General</c:formatCode>
                <c:ptCount val="21"/>
                <c:pt idx="0">
                  <c:v>11667</c:v>
                </c:pt>
                <c:pt idx="1">
                  <c:v>10848</c:v>
                </c:pt>
                <c:pt idx="2">
                  <c:v>11404</c:v>
                </c:pt>
                <c:pt idx="3">
                  <c:v>12058</c:v>
                </c:pt>
                <c:pt idx="4">
                  <c:v>10686</c:v>
                </c:pt>
                <c:pt idx="5">
                  <c:v>11715</c:v>
                </c:pt>
                <c:pt idx="6">
                  <c:v>11215</c:v>
                </c:pt>
                <c:pt idx="7">
                  <c:v>11407</c:v>
                </c:pt>
                <c:pt idx="8">
                  <c:v>10973</c:v>
                </c:pt>
                <c:pt idx="9">
                  <c:v>11136</c:v>
                </c:pt>
                <c:pt idx="10">
                  <c:v>10338</c:v>
                </c:pt>
                <c:pt idx="11">
                  <c:v>10870</c:v>
                </c:pt>
                <c:pt idx="12">
                  <c:v>10573</c:v>
                </c:pt>
                <c:pt idx="13">
                  <c:v>11577</c:v>
                </c:pt>
                <c:pt idx="14">
                  <c:v>10620</c:v>
                </c:pt>
                <c:pt idx="15">
                  <c:v>10543</c:v>
                </c:pt>
                <c:pt idx="16">
                  <c:v>10611</c:v>
                </c:pt>
                <c:pt idx="17">
                  <c:v>10998</c:v>
                </c:pt>
                <c:pt idx="18">
                  <c:v>10918</c:v>
                </c:pt>
                <c:pt idx="19">
                  <c:v>11077</c:v>
                </c:pt>
                <c:pt idx="20">
                  <c:v>221234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3-4394-9CF4-689D0E0C1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8141360"/>
        <c:axId val="1818153360"/>
      </c:barChart>
      <c:lineChart>
        <c:grouping val="standard"/>
        <c:varyColors val="0"/>
        <c:ser>
          <c:idx val="1"/>
          <c:order val="1"/>
          <c:tx>
            <c:v>Answer Rate</c:v>
          </c:tx>
          <c:marker>
            <c:symbol val="none"/>
          </c:marker>
          <c:cat>
            <c:strRef>
              <c:f>[1]Data!$A$2:$A$22</c:f>
              <c:strCache>
                <c:ptCount val="21"/>
                <c:pt idx="0">
                  <c:v>Frodo Baggins</c:v>
                </c:pt>
                <c:pt idx="1">
                  <c:v>Abed Nadir</c:v>
                </c:pt>
                <c:pt idx="2">
                  <c:v>Walter /White</c:v>
                </c:pt>
                <c:pt idx="3">
                  <c:v>Dwight Schrute</c:v>
                </c:pt>
                <c:pt idx="4">
                  <c:v>Jon Snow</c:v>
                </c:pt>
                <c:pt idx="5">
                  <c:v>Ron Swanson</c:v>
                </c:pt>
                <c:pt idx="6">
                  <c:v>Jeff   Winger</c:v>
                </c:pt>
                <c:pt idx="7">
                  <c:v>Sherlock Holmes</c:v>
                </c:pt>
                <c:pt idx="8">
                  <c:v>Gandalf </c:v>
                </c:pt>
                <c:pt idx="9">
                  <c:v>Peter Parker</c:v>
                </c:pt>
                <c:pt idx="10">
                  <c:v>Samwise Gamgee</c:v>
                </c:pt>
                <c:pt idx="11">
                  <c:v>Harry ...Potter</c:v>
                </c:pt>
                <c:pt idx="12">
                  <c:v>Don Draper</c:v>
                </c:pt>
                <c:pt idx="13">
                  <c:v>Leslie Knope</c:v>
                </c:pt>
                <c:pt idx="14">
                  <c:v>Toby Flenderson_</c:v>
                </c:pt>
                <c:pt idx="15">
                  <c:v>Ron Weasley</c:v>
                </c:pt>
                <c:pt idx="16">
                  <c:v>Michael  Scott</c:v>
                </c:pt>
                <c:pt idx="17">
                  <c:v>Clark Kent</c:v>
                </c:pt>
                <c:pt idx="18">
                  <c:v>Creed Braton</c:v>
                </c:pt>
                <c:pt idx="19">
                  <c:v>Anakin Skywalker</c:v>
                </c:pt>
                <c:pt idx="20">
                  <c:v>Grand Total</c:v>
                </c:pt>
              </c:strCache>
            </c:strRef>
          </c:cat>
          <c:val>
            <c:numRef>
              <c:f>[1]Data!$F$2:$F$22</c:f>
              <c:numCache>
                <c:formatCode>General</c:formatCode>
                <c:ptCount val="21"/>
                <c:pt idx="0">
                  <c:v>0.92816984126984148</c:v>
                </c:pt>
                <c:pt idx="1">
                  <c:v>0.93396666666666639</c:v>
                </c:pt>
                <c:pt idx="2">
                  <c:v>0.92811587301587306</c:v>
                </c:pt>
                <c:pt idx="3">
                  <c:v>0.92554761904761906</c:v>
                </c:pt>
                <c:pt idx="4">
                  <c:v>0.92897301587301562</c:v>
                </c:pt>
                <c:pt idx="5">
                  <c:v>0.92912380952380957</c:v>
                </c:pt>
                <c:pt idx="6">
                  <c:v>0.92639523809523827</c:v>
                </c:pt>
                <c:pt idx="7">
                  <c:v>0.9212666666666669</c:v>
                </c:pt>
                <c:pt idx="8">
                  <c:v>0.92591111111111113</c:v>
                </c:pt>
                <c:pt idx="9">
                  <c:v>0.93929047619047623</c:v>
                </c:pt>
                <c:pt idx="10">
                  <c:v>0.93985079365079338</c:v>
                </c:pt>
                <c:pt idx="11">
                  <c:v>0.92495000000000027</c:v>
                </c:pt>
                <c:pt idx="12">
                  <c:v>0.91829032258064525</c:v>
                </c:pt>
                <c:pt idx="13">
                  <c:v>0.92060967741935462</c:v>
                </c:pt>
                <c:pt idx="14">
                  <c:v>0.91715483870967762</c:v>
                </c:pt>
                <c:pt idx="15">
                  <c:v>0.92782096774193568</c:v>
                </c:pt>
                <c:pt idx="16">
                  <c:v>0.9193209677419355</c:v>
                </c:pt>
                <c:pt idx="17">
                  <c:v>0.92109677419354818</c:v>
                </c:pt>
                <c:pt idx="18">
                  <c:v>0.92906935483870978</c:v>
                </c:pt>
                <c:pt idx="19">
                  <c:v>0.93308870967741919</c:v>
                </c:pt>
                <c:pt idx="20">
                  <c:v>0.92692517985611456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13-4394-9CF4-689D0E0C1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8138000"/>
        <c:axId val="1818154320"/>
      </c:lineChart>
      <c:catAx>
        <c:axId val="181814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8153360"/>
        <c:crosses val="autoZero"/>
        <c:auto val="1"/>
        <c:lblAlgn val="ctr"/>
        <c:lblOffset val="100"/>
        <c:noMultiLvlLbl val="0"/>
      </c:catAx>
      <c:valAx>
        <c:axId val="1818153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Call Volume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8141360"/>
        <c:crosses val="autoZero"/>
        <c:crossBetween val="between"/>
      </c:valAx>
      <c:valAx>
        <c:axId val="1818154320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Answer Rate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8138000"/>
        <c:crosses val="max"/>
        <c:crossBetween val="between"/>
      </c:valAx>
      <c:catAx>
        <c:axId val="1818138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8154320"/>
        <c:crosses val="autoZero"/>
        <c:auto val="1"/>
        <c:lblAlgn val="ctr"/>
        <c:lblOffset val="100"/>
        <c:noMultiLvlLbl val="0"/>
      </c:cat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Top/Bottom Performers by Service Level</a:t>
            </a:r>
          </a:p>
        </c:rich>
      </c:tx>
      <c:layout>
        <c:manualLayout>
          <c:xMode val="edge"/>
          <c:yMode val="edge"/>
          <c:x val="9.1214225983112587E-2"/>
          <c:y val="5.811699673904398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multiLvlStrRef>
              <c:f>[2]SUMMARY!$E$5:$G$10</c:f>
              <c:multiLvlStrCache>
                <c:ptCount val="6"/>
                <c:lvl>
                  <c:pt idx="0">
                    <c:v>Bottom Performers</c:v>
                  </c:pt>
                  <c:pt idx="1">
                    <c:v>Sherlock Holmes</c:v>
                  </c:pt>
                  <c:pt idx="2">
                    <c:v>Ron Swanson</c:v>
                  </c:pt>
                  <c:pt idx="3">
                    <c:v>Gandalf </c:v>
                  </c:pt>
                  <c:pt idx="4">
                    <c:v>Peter Parker</c:v>
                  </c:pt>
                  <c:pt idx="5">
                    <c:v>Samwise Gamgee</c:v>
                  </c:pt>
                </c:lvl>
                <c:lvl>
                  <c:pt idx="1">
                    <c:v>27139</c:v>
                  </c:pt>
                  <c:pt idx="2">
                    <c:v>1730</c:v>
                  </c:pt>
                  <c:pt idx="3">
                    <c:v>1658</c:v>
                  </c:pt>
                  <c:pt idx="4">
                    <c:v>1634</c:v>
                  </c:pt>
                  <c:pt idx="5">
                    <c:v>1610</c:v>
                  </c:pt>
                </c:lvl>
                <c:lvl>
                  <c:pt idx="0">
                    <c:v>Top Performers</c:v>
                  </c:pt>
                  <c:pt idx="1">
                    <c:v>Grand Total</c:v>
                  </c:pt>
                  <c:pt idx="2">
                    <c:v>Creed Braton</c:v>
                  </c:pt>
                  <c:pt idx="3">
                    <c:v>Don Draper</c:v>
                  </c:pt>
                  <c:pt idx="4">
                    <c:v>Dwight Schrute</c:v>
                  </c:pt>
                  <c:pt idx="5">
                    <c:v>Leslie Knope</c:v>
                  </c:pt>
                </c:lvl>
              </c:multiLvlStrCache>
            </c:multiLvlStrRef>
          </c:cat>
          <c:val>
            <c:numRef>
              <c:f>[2]SUMMARY!$H$5:$H$10</c:f>
              <c:numCache>
                <c:formatCode>General</c:formatCode>
                <c:ptCount val="6"/>
                <c:pt idx="1">
                  <c:v>1186</c:v>
                </c:pt>
                <c:pt idx="2">
                  <c:v>1135</c:v>
                </c:pt>
                <c:pt idx="3">
                  <c:v>1074</c:v>
                </c:pt>
                <c:pt idx="4">
                  <c:v>1041</c:v>
                </c:pt>
                <c:pt idx="5">
                  <c:v>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9-418E-BDB0-6955348D8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8126000"/>
        <c:axId val="1818127440"/>
      </c:barChart>
      <c:catAx>
        <c:axId val="18181260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18127440"/>
        <c:crosses val="autoZero"/>
        <c:auto val="1"/>
        <c:lblAlgn val="ctr"/>
        <c:lblOffset val="100"/>
        <c:noMultiLvlLbl val="0"/>
      </c:catAx>
      <c:valAx>
        <c:axId val="181812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8126000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Agent Performance (Size = Abandoned Calls)</a:t>
            </a:r>
          </a:p>
        </c:rich>
      </c:tx>
      <c:overlay val="0"/>
    </c:title>
    <c:autoTitleDeleted val="0"/>
    <c:plotArea>
      <c:layout/>
      <c:bubbleChart>
        <c:varyColors val="0"/>
        <c:ser>
          <c:idx val="0"/>
          <c:order val="0"/>
          <c:tx>
            <c:v>Agent Performance</c:v>
          </c:tx>
          <c:invertIfNegative val="0"/>
          <c:xVal>
            <c:numRef>
              <c:f>[1]Data!$D$2:$D$22</c:f>
              <c:numCache>
                <c:formatCode>General</c:formatCode>
                <c:ptCount val="21"/>
                <c:pt idx="0">
                  <c:v>1541</c:v>
                </c:pt>
                <c:pt idx="1">
                  <c:v>1332</c:v>
                </c:pt>
                <c:pt idx="2">
                  <c:v>1516</c:v>
                </c:pt>
                <c:pt idx="3">
                  <c:v>1634</c:v>
                </c:pt>
                <c:pt idx="4">
                  <c:v>968</c:v>
                </c:pt>
                <c:pt idx="5">
                  <c:v>1135</c:v>
                </c:pt>
                <c:pt idx="6">
                  <c:v>1222</c:v>
                </c:pt>
                <c:pt idx="7">
                  <c:v>1186</c:v>
                </c:pt>
                <c:pt idx="8">
                  <c:v>1074</c:v>
                </c:pt>
                <c:pt idx="9">
                  <c:v>1041</c:v>
                </c:pt>
                <c:pt idx="10">
                  <c:v>975</c:v>
                </c:pt>
                <c:pt idx="11">
                  <c:v>1506</c:v>
                </c:pt>
                <c:pt idx="12">
                  <c:v>1658</c:v>
                </c:pt>
                <c:pt idx="13">
                  <c:v>1610</c:v>
                </c:pt>
                <c:pt idx="14">
                  <c:v>1423</c:v>
                </c:pt>
                <c:pt idx="15">
                  <c:v>1292</c:v>
                </c:pt>
                <c:pt idx="16">
                  <c:v>1410</c:v>
                </c:pt>
                <c:pt idx="17">
                  <c:v>1291</c:v>
                </c:pt>
                <c:pt idx="18">
                  <c:v>1730</c:v>
                </c:pt>
                <c:pt idx="19">
                  <c:v>1595</c:v>
                </c:pt>
                <c:pt idx="20">
                  <c:v>27139</c:v>
                </c:pt>
              </c:numCache>
            </c:numRef>
          </c:xVal>
          <c:yVal>
            <c:numRef>
              <c:f>[1]Data!$F$2:$F$22</c:f>
              <c:numCache>
                <c:formatCode>General</c:formatCode>
                <c:ptCount val="21"/>
                <c:pt idx="0">
                  <c:v>0.92816984126984148</c:v>
                </c:pt>
                <c:pt idx="1">
                  <c:v>0.93396666666666639</c:v>
                </c:pt>
                <c:pt idx="2">
                  <c:v>0.92811587301587306</c:v>
                </c:pt>
                <c:pt idx="3">
                  <c:v>0.92554761904761906</c:v>
                </c:pt>
                <c:pt idx="4">
                  <c:v>0.92897301587301562</c:v>
                </c:pt>
                <c:pt idx="5">
                  <c:v>0.92912380952380957</c:v>
                </c:pt>
                <c:pt idx="6">
                  <c:v>0.92639523809523827</c:v>
                </c:pt>
                <c:pt idx="7">
                  <c:v>0.9212666666666669</c:v>
                </c:pt>
                <c:pt idx="8">
                  <c:v>0.92591111111111113</c:v>
                </c:pt>
                <c:pt idx="9">
                  <c:v>0.93929047619047623</c:v>
                </c:pt>
                <c:pt idx="10">
                  <c:v>0.93985079365079338</c:v>
                </c:pt>
                <c:pt idx="11">
                  <c:v>0.92495000000000027</c:v>
                </c:pt>
                <c:pt idx="12">
                  <c:v>0.91829032258064525</c:v>
                </c:pt>
                <c:pt idx="13">
                  <c:v>0.92060967741935462</c:v>
                </c:pt>
                <c:pt idx="14">
                  <c:v>0.91715483870967762</c:v>
                </c:pt>
                <c:pt idx="15">
                  <c:v>0.92782096774193568</c:v>
                </c:pt>
                <c:pt idx="16">
                  <c:v>0.9193209677419355</c:v>
                </c:pt>
                <c:pt idx="17">
                  <c:v>0.92109677419354818</c:v>
                </c:pt>
                <c:pt idx="18">
                  <c:v>0.92906935483870978</c:v>
                </c:pt>
                <c:pt idx="19">
                  <c:v>0.93308870967741919</c:v>
                </c:pt>
                <c:pt idx="20">
                  <c:v>0.92692517985611456</c:v>
                </c:pt>
              </c:numCache>
            </c:numRef>
          </c:yVal>
          <c:bubbleSize>
            <c:numRef>
              <c:f>[1]Data!$E$2:$E$22</c:f>
              <c:numCache>
                <c:formatCode>General</c:formatCode>
                <c:ptCount val="21"/>
                <c:pt idx="0">
                  <c:v>209.65079365079364</c:v>
                </c:pt>
                <c:pt idx="1">
                  <c:v>193.33333333333334</c:v>
                </c:pt>
                <c:pt idx="2">
                  <c:v>205.07936507936509</c:v>
                </c:pt>
                <c:pt idx="3">
                  <c:v>217.33333333333334</c:v>
                </c:pt>
                <c:pt idx="4">
                  <c:v>184.98412698412699</c:v>
                </c:pt>
                <c:pt idx="5">
                  <c:v>203.96825396825398</c:v>
                </c:pt>
                <c:pt idx="6">
                  <c:v>197.4126984126984</c:v>
                </c:pt>
                <c:pt idx="7">
                  <c:v>199.88888888888889</c:v>
                </c:pt>
                <c:pt idx="8">
                  <c:v>191.22222222222223</c:v>
                </c:pt>
                <c:pt idx="9">
                  <c:v>193.28571428571428</c:v>
                </c:pt>
                <c:pt idx="10">
                  <c:v>179.57142857142858</c:v>
                </c:pt>
                <c:pt idx="11">
                  <c:v>199.61290322580646</c:v>
                </c:pt>
                <c:pt idx="12">
                  <c:v>197.2741935483871</c:v>
                </c:pt>
                <c:pt idx="13">
                  <c:v>212.69354838709677</c:v>
                </c:pt>
                <c:pt idx="14">
                  <c:v>194.24193548387098</c:v>
                </c:pt>
                <c:pt idx="15">
                  <c:v>190.88709677419354</c:v>
                </c:pt>
                <c:pt idx="16">
                  <c:v>193.88709677419354</c:v>
                </c:pt>
                <c:pt idx="17">
                  <c:v>198.20967741935485</c:v>
                </c:pt>
                <c:pt idx="18">
                  <c:v>204</c:v>
                </c:pt>
                <c:pt idx="19">
                  <c:v>204.38709677419354</c:v>
                </c:pt>
                <c:pt idx="20">
                  <c:v>198.53956834532374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64CD-4AB2-8749-6220A0FAA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818134640"/>
        <c:axId val="1818135600"/>
      </c:bubbleChart>
      <c:valAx>
        <c:axId val="1818134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8135600"/>
        <c:crosses val="autoZero"/>
        <c:crossBetween val="midCat"/>
      </c:valAx>
      <c:valAx>
        <c:axId val="1818135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1813464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61332</xdr:colOff>
      <xdr:row>4</xdr:row>
      <xdr:rowOff>98966</xdr:rowOff>
    </xdr:from>
    <xdr:to>
      <xdr:col>7</xdr:col>
      <xdr:colOff>105937</xdr:colOff>
      <xdr:row>18</xdr:row>
      <xdr:rowOff>51342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114F49-121E-4420-AD20-CE90DD1C8D2A}"/>
            </a:ext>
          </a:extLst>
        </xdr:cNvPr>
        <xdr:cNvSpPr/>
      </xdr:nvSpPr>
      <xdr:spPr>
        <a:xfrm>
          <a:off x="61332" y="860966"/>
          <a:ext cx="4235605" cy="261937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81312</xdr:colOff>
      <xdr:row>19</xdr:row>
      <xdr:rowOff>132419</xdr:rowOff>
    </xdr:from>
    <xdr:to>
      <xdr:col>14</xdr:col>
      <xdr:colOff>449070</xdr:colOff>
      <xdr:row>33</xdr:row>
      <xdr:rowOff>84795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17FFF5E-248F-4CDA-9E1F-8F3623542A9D}"/>
            </a:ext>
          </a:extLst>
        </xdr:cNvPr>
        <xdr:cNvSpPr/>
      </xdr:nvSpPr>
      <xdr:spPr>
        <a:xfrm>
          <a:off x="4729512" y="3751919"/>
          <a:ext cx="4025358" cy="261937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104543</xdr:colOff>
      <xdr:row>5</xdr:row>
      <xdr:rowOff>23230</xdr:rowOff>
    </xdr:from>
    <xdr:to>
      <xdr:col>6</xdr:col>
      <xdr:colOff>778263</xdr:colOff>
      <xdr:row>17</xdr:row>
      <xdr:rowOff>69695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8205FD-28DE-42A2-B001-7281D72AB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71554</xdr:colOff>
      <xdr:row>19</xdr:row>
      <xdr:rowOff>144035</xdr:rowOff>
    </xdr:from>
    <xdr:to>
      <xdr:col>7</xdr:col>
      <xdr:colOff>116159</xdr:colOff>
      <xdr:row>33</xdr:row>
      <xdr:rowOff>96411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FA7F728-4C27-4C29-82C0-F9B9472408B2}"/>
            </a:ext>
          </a:extLst>
        </xdr:cNvPr>
        <xdr:cNvSpPr/>
      </xdr:nvSpPr>
      <xdr:spPr>
        <a:xfrm>
          <a:off x="71554" y="3763535"/>
          <a:ext cx="4235605" cy="261937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364739</xdr:colOff>
      <xdr:row>4</xdr:row>
      <xdr:rowOff>19049</xdr:rowOff>
    </xdr:from>
    <xdr:to>
      <xdr:col>12</xdr:col>
      <xdr:colOff>487866</xdr:colOff>
      <xdr:row>17</xdr:row>
      <xdr:rowOff>157279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8044AF3-B734-4299-9185-A1A840C72ACA}"/>
            </a:ext>
          </a:extLst>
        </xdr:cNvPr>
        <xdr:cNvSpPr/>
      </xdr:nvSpPr>
      <xdr:spPr>
        <a:xfrm>
          <a:off x="4555739" y="781049"/>
          <a:ext cx="3018727" cy="261473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255548</xdr:colOff>
      <xdr:row>20</xdr:row>
      <xdr:rowOff>69695</xdr:rowOff>
    </xdr:from>
    <xdr:to>
      <xdr:col>14</xdr:col>
      <xdr:colOff>383323</xdr:colOff>
      <xdr:row>32</xdr:row>
      <xdr:rowOff>174238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BBC63A-EFCD-43C2-9878-D40E4D414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185854</xdr:colOff>
      <xdr:row>20</xdr:row>
      <xdr:rowOff>46462</xdr:rowOff>
    </xdr:from>
    <xdr:to>
      <xdr:col>6</xdr:col>
      <xdr:colOff>766647</xdr:colOff>
      <xdr:row>32</xdr:row>
      <xdr:rowOff>174237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605753C-BA14-48DB-85E5-480377802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104543</xdr:colOff>
      <xdr:row>4</xdr:row>
      <xdr:rowOff>95974</xdr:rowOff>
    </xdr:from>
    <xdr:to>
      <xdr:col>12</xdr:col>
      <xdr:colOff>302014</xdr:colOff>
      <xdr:row>17</xdr:row>
      <xdr:rowOff>90836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2AFC85F-D80C-4B34-BF55-67FC28854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743" y="857974"/>
          <a:ext cx="2635871" cy="2471362"/>
        </a:xfrm>
        <a:prstGeom prst="roundRect">
          <a:avLst>
            <a:gd name="adj" fmla="val 16667"/>
          </a:avLst>
        </a:prstGeom>
        <a:solidFill>
          <a:schemeClr val="bg1"/>
        </a:solidFill>
        <a:ln>
          <a:noFill/>
        </a:ln>
        <a:effectLst>
          <a:outerShdw blurRad="76200" dist="50800" dir="7800000" sx="99000" sy="99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13</xdr:col>
      <xdr:colOff>23232</xdr:colOff>
      <xdr:row>4</xdr:row>
      <xdr:rowOff>34847</xdr:rowOff>
    </xdr:from>
    <xdr:to>
      <xdr:col>14</xdr:col>
      <xdr:colOff>371707</xdr:colOff>
      <xdr:row>18</xdr:row>
      <xdr:rowOff>23231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5B13EF-7FBE-4643-8428-CDC5A7C2DC68}"/>
            </a:ext>
          </a:extLst>
        </xdr:cNvPr>
        <xdr:cNvSpPr/>
      </xdr:nvSpPr>
      <xdr:spPr>
        <a:xfrm>
          <a:off x="7719432" y="796847"/>
          <a:ext cx="958075" cy="265538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vm\Desktop\Call%20Center%20Data%20(version%201)%20-%20Copy.xlsx" TargetMode="External"/><Relationship Id="rId1" Type="http://schemas.openxmlformats.org/officeDocument/2006/relationships/externalLinkPath" Target="file:///C:\Users\marvm\Desktop\Call%20Center%20Data%20(version%201)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vm\Desktop\Call%20Center%20Data%20(version%201)%20-%20Copy%20(version%201).xlsx" TargetMode="External"/><Relationship Id="rId1" Type="http://schemas.openxmlformats.org/officeDocument/2006/relationships/externalLinkPath" Target="file:///C:\Users\marvm\Desktop\Call%20Center%20Data%20(version%201)%20-%20Copy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UMMARY"/>
    </sheetNames>
    <sheetDataSet>
      <sheetData sheetId="0">
        <row r="2">
          <cell r="A2" t="str">
            <v>Frodo Baggins</v>
          </cell>
          <cell r="D2">
            <v>1541</v>
          </cell>
          <cell r="E2">
            <v>209.65079365079364</v>
          </cell>
          <cell r="F2">
            <v>0.92816984126984148</v>
          </cell>
          <cell r="G2">
            <v>11667</v>
          </cell>
        </row>
        <row r="3">
          <cell r="A3" t="str">
            <v>Abed Nadir</v>
          </cell>
          <cell r="D3">
            <v>1332</v>
          </cell>
          <cell r="E3">
            <v>193.33333333333334</v>
          </cell>
          <cell r="F3">
            <v>0.93396666666666639</v>
          </cell>
          <cell r="G3">
            <v>10848</v>
          </cell>
        </row>
        <row r="4">
          <cell r="A4" t="str">
            <v>Walter /White</v>
          </cell>
          <cell r="D4">
            <v>1516</v>
          </cell>
          <cell r="E4">
            <v>205.07936507936509</v>
          </cell>
          <cell r="F4">
            <v>0.92811587301587306</v>
          </cell>
          <cell r="G4">
            <v>11404</v>
          </cell>
        </row>
        <row r="5">
          <cell r="A5" t="str">
            <v>Dwight Schrute</v>
          </cell>
          <cell r="D5">
            <v>1634</v>
          </cell>
          <cell r="E5">
            <v>217.33333333333334</v>
          </cell>
          <cell r="F5">
            <v>0.92554761904761906</v>
          </cell>
          <cell r="G5">
            <v>12058</v>
          </cell>
        </row>
        <row r="6">
          <cell r="A6" t="str">
            <v>Jon Snow</v>
          </cell>
          <cell r="D6">
            <v>968</v>
          </cell>
          <cell r="E6">
            <v>184.98412698412699</v>
          </cell>
          <cell r="F6">
            <v>0.92897301587301562</v>
          </cell>
          <cell r="G6">
            <v>10686</v>
          </cell>
        </row>
        <row r="7">
          <cell r="A7" t="str">
            <v>Ron Swanson</v>
          </cell>
          <cell r="D7">
            <v>1135</v>
          </cell>
          <cell r="E7">
            <v>203.96825396825398</v>
          </cell>
          <cell r="F7">
            <v>0.92912380952380957</v>
          </cell>
          <cell r="G7">
            <v>11715</v>
          </cell>
        </row>
        <row r="8">
          <cell r="A8" t="str">
            <v>Jeff   Winger</v>
          </cell>
          <cell r="D8">
            <v>1222</v>
          </cell>
          <cell r="E8">
            <v>197.4126984126984</v>
          </cell>
          <cell r="F8">
            <v>0.92639523809523827</v>
          </cell>
          <cell r="G8">
            <v>11215</v>
          </cell>
        </row>
        <row r="9">
          <cell r="A9" t="str">
            <v>Sherlock Holmes</v>
          </cell>
          <cell r="D9">
            <v>1186</v>
          </cell>
          <cell r="E9">
            <v>199.88888888888889</v>
          </cell>
          <cell r="F9">
            <v>0.9212666666666669</v>
          </cell>
          <cell r="G9">
            <v>11407</v>
          </cell>
        </row>
        <row r="10">
          <cell r="A10" t="str">
            <v xml:space="preserve">Gandalf </v>
          </cell>
          <cell r="D10">
            <v>1074</v>
          </cell>
          <cell r="E10">
            <v>191.22222222222223</v>
          </cell>
          <cell r="F10">
            <v>0.92591111111111113</v>
          </cell>
          <cell r="G10">
            <v>10973</v>
          </cell>
        </row>
        <row r="11">
          <cell r="A11" t="str">
            <v>Peter Parker</v>
          </cell>
          <cell r="D11">
            <v>1041</v>
          </cell>
          <cell r="E11">
            <v>193.28571428571428</v>
          </cell>
          <cell r="F11">
            <v>0.93929047619047623</v>
          </cell>
          <cell r="G11">
            <v>11136</v>
          </cell>
        </row>
        <row r="12">
          <cell r="A12" t="str">
            <v>Samwise Gamgee</v>
          </cell>
          <cell r="D12">
            <v>975</v>
          </cell>
          <cell r="E12">
            <v>179.57142857142858</v>
          </cell>
          <cell r="F12">
            <v>0.93985079365079338</v>
          </cell>
          <cell r="G12">
            <v>10338</v>
          </cell>
        </row>
        <row r="13">
          <cell r="A13" t="str">
            <v>Harry ...Potter</v>
          </cell>
          <cell r="D13">
            <v>1506</v>
          </cell>
          <cell r="E13">
            <v>199.61290322580646</v>
          </cell>
          <cell r="F13">
            <v>0.92495000000000027</v>
          </cell>
          <cell r="G13">
            <v>10870</v>
          </cell>
        </row>
        <row r="14">
          <cell r="A14" t="str">
            <v>Don Draper</v>
          </cell>
          <cell r="D14">
            <v>1658</v>
          </cell>
          <cell r="E14">
            <v>197.2741935483871</v>
          </cell>
          <cell r="F14">
            <v>0.91829032258064525</v>
          </cell>
          <cell r="G14">
            <v>10573</v>
          </cell>
        </row>
        <row r="15">
          <cell r="A15" t="str">
            <v>Leslie Knope</v>
          </cell>
          <cell r="D15">
            <v>1610</v>
          </cell>
          <cell r="E15">
            <v>212.69354838709677</v>
          </cell>
          <cell r="F15">
            <v>0.92060967741935462</v>
          </cell>
          <cell r="G15">
            <v>11577</v>
          </cell>
        </row>
        <row r="16">
          <cell r="A16" t="str">
            <v>Toby Flenderson_</v>
          </cell>
          <cell r="D16">
            <v>1423</v>
          </cell>
          <cell r="E16">
            <v>194.24193548387098</v>
          </cell>
          <cell r="F16">
            <v>0.91715483870967762</v>
          </cell>
          <cell r="G16">
            <v>10620</v>
          </cell>
        </row>
        <row r="17">
          <cell r="A17" t="str">
            <v>Ron Weasley</v>
          </cell>
          <cell r="D17">
            <v>1292</v>
          </cell>
          <cell r="E17">
            <v>190.88709677419354</v>
          </cell>
          <cell r="F17">
            <v>0.92782096774193568</v>
          </cell>
          <cell r="G17">
            <v>10543</v>
          </cell>
        </row>
        <row r="18">
          <cell r="A18" t="str">
            <v>Michael  Scott</v>
          </cell>
          <cell r="D18">
            <v>1410</v>
          </cell>
          <cell r="E18">
            <v>193.88709677419354</v>
          </cell>
          <cell r="F18">
            <v>0.9193209677419355</v>
          </cell>
          <cell r="G18">
            <v>10611</v>
          </cell>
        </row>
        <row r="19">
          <cell r="A19" t="str">
            <v>Clark Kent</v>
          </cell>
          <cell r="D19">
            <v>1291</v>
          </cell>
          <cell r="E19">
            <v>198.20967741935485</v>
          </cell>
          <cell r="F19">
            <v>0.92109677419354818</v>
          </cell>
          <cell r="G19">
            <v>10998</v>
          </cell>
        </row>
        <row r="20">
          <cell r="A20" t="str">
            <v>Creed Braton</v>
          </cell>
          <cell r="D20">
            <v>1730</v>
          </cell>
          <cell r="E20">
            <v>204</v>
          </cell>
          <cell r="F20">
            <v>0.92906935483870978</v>
          </cell>
          <cell r="G20">
            <v>10918</v>
          </cell>
        </row>
        <row r="21">
          <cell r="A21" t="str">
            <v>Anakin Skywalker</v>
          </cell>
          <cell r="D21">
            <v>1595</v>
          </cell>
          <cell r="E21">
            <v>204.38709677419354</v>
          </cell>
          <cell r="F21">
            <v>0.93308870967741919</v>
          </cell>
          <cell r="G21">
            <v>11077</v>
          </cell>
        </row>
        <row r="22">
          <cell r="A22" t="str">
            <v>Grand Total</v>
          </cell>
          <cell r="D22">
            <v>27139</v>
          </cell>
          <cell r="E22">
            <v>198.53956834532374</v>
          </cell>
          <cell r="F22">
            <v>0.92692517985611456</v>
          </cell>
          <cell r="G22">
            <v>221234</v>
          </cell>
        </row>
      </sheetData>
      <sheetData sheetId="1">
        <row r="5">
          <cell r="E5" t="str">
            <v>Top Performers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Pivot Table"/>
      <sheetName val="Data"/>
      <sheetName val="Dashbord"/>
    </sheetNames>
    <sheetDataSet>
      <sheetData sheetId="0">
        <row r="5">
          <cell r="E5" t="str">
            <v>Top Performers</v>
          </cell>
          <cell r="G5" t="str">
            <v>Bottom Performers</v>
          </cell>
        </row>
        <row r="6">
          <cell r="E6" t="str">
            <v>Grand Total</v>
          </cell>
          <cell r="F6">
            <v>27139</v>
          </cell>
          <cell r="G6" t="str">
            <v>Sherlock Holmes</v>
          </cell>
          <cell r="H6">
            <v>1186</v>
          </cell>
        </row>
        <row r="7">
          <cell r="E7" t="str">
            <v>Creed Braton</v>
          </cell>
          <cell r="F7">
            <v>1730</v>
          </cell>
          <cell r="G7" t="str">
            <v>Ron Swanson</v>
          </cell>
          <cell r="H7">
            <v>1135</v>
          </cell>
        </row>
        <row r="8">
          <cell r="E8" t="str">
            <v>Don Draper</v>
          </cell>
          <cell r="F8">
            <v>1658</v>
          </cell>
          <cell r="G8" t="str">
            <v xml:space="preserve">Gandalf </v>
          </cell>
          <cell r="H8">
            <v>1074</v>
          </cell>
        </row>
        <row r="9">
          <cell r="E9" t="str">
            <v>Dwight Schrute</v>
          </cell>
          <cell r="F9">
            <v>1634</v>
          </cell>
          <cell r="G9" t="str">
            <v>Peter Parker</v>
          </cell>
          <cell r="H9">
            <v>1041</v>
          </cell>
        </row>
        <row r="10">
          <cell r="E10" t="str">
            <v>Leslie Knope</v>
          </cell>
          <cell r="F10">
            <v>1610</v>
          </cell>
          <cell r="G10" t="str">
            <v>Samwise Gamgee</v>
          </cell>
          <cell r="H10">
            <v>975</v>
          </cell>
        </row>
      </sheetData>
      <sheetData sheetId="1" refreshError="1"/>
      <sheetData sheetId="2" refreshError="1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vm\Desktop\Call%20Center%20Data%20(version%201)%20-%20Copy%20(version%20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uwal Abdulaziz" refreshedDate="45785.52362847222" createdVersion="8" refreshedVersion="8" minRefreshableVersion="3" recordCount="20" xr:uid="{2B7837CD-41DD-49E5-BC08-FC931D315B73}">
  <cacheSource type="worksheet">
    <worksheetSource name="CallDataTable" r:id="rId2"/>
  </cacheSource>
  <cacheFields count="7">
    <cacheField name="Customer Care Name" numFmtId="0">
      <sharedItems count="21">
        <s v="Emma Thompson"/>
        <s v="Liam Rodriguez"/>
        <s v="Olivia Chen"/>
        <s v="Noah Patel"/>
        <s v="Ava Kowalski"/>
        <s v="Ethan Nguyen"/>
        <s v="Sophia Martinez"/>
        <s v="Mason O'Connor"/>
        <s v="Isabella Kim"/>
        <s v="Lucas Davis"/>
        <s v="Mia Alvarez"/>
        <s v="Alexander Singh"/>
        <s v="Charlotte Brown"/>
        <s v="James Morgan"/>
        <s v="Amelia Lopez"/>
        <s v="Benjamin Fischer"/>
        <s v="Harper Khan"/>
        <s v="Elijah Wilson"/>
        <s v="Evelyn Sato"/>
        <s v="Daniel Garcia"/>
        <s v="Grand Total" u="1"/>
      </sharedItems>
    </cacheField>
    <cacheField name="Call Count" numFmtId="0">
      <sharedItems containsSemiMixedTypes="0" containsString="0" containsNumber="1" containsInteger="1" minValue="62" maxValue="63"/>
    </cacheField>
    <cacheField name="Average of Service Level (20 Seconds)" numFmtId="2">
      <sharedItems containsSemiMixedTypes="0" containsString="0" containsNumber="1" minValue="0.68351774193548409" maxValue="0.73197619047619045"/>
    </cacheField>
    <cacheField name="Sum of Abandoned Calls" numFmtId="2">
      <sharedItems containsSemiMixedTypes="0" containsString="0" containsNumber="1" containsInteger="1" minValue="968" maxValue="1730"/>
    </cacheField>
    <cacheField name="Average of Incoming Calls" numFmtId="2">
      <sharedItems containsSemiMixedTypes="0" containsString="0" containsNumber="1" minValue="179.57142857142858" maxValue="217.33333333333334"/>
    </cacheField>
    <cacheField name="Answer Rate %" numFmtId="2">
      <sharedItems containsSemiMixedTypes="0" containsString="0" containsNumber="1" minValue="0.91715483870967762" maxValue="0.93985079365079338"/>
    </cacheField>
    <cacheField name="Total Answered Calls" numFmtId="2">
      <sharedItems containsSemiMixedTypes="0" containsString="0" containsNumber="1" containsInteger="1" minValue="10338" maxValue="120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63"/>
    <n v="0.7195222222222224"/>
    <n v="1541"/>
    <n v="209.65079365079364"/>
    <n v="0.92816984126984148"/>
    <n v="11667"/>
  </r>
  <r>
    <x v="1"/>
    <n v="63"/>
    <n v="0.7306269841269839"/>
    <n v="1332"/>
    <n v="193.33333333333334"/>
    <n v="0.93396666666666639"/>
    <n v="10848"/>
  </r>
  <r>
    <x v="2"/>
    <n v="63"/>
    <n v="0.71433809523809544"/>
    <n v="1516"/>
    <n v="205.07936507936509"/>
    <n v="0.92811587301587306"/>
    <n v="11404"/>
  </r>
  <r>
    <x v="3"/>
    <n v="63"/>
    <n v="0.70961746031746009"/>
    <n v="1634"/>
    <n v="217.33333333333334"/>
    <n v="0.92554761904761906"/>
    <n v="12058"/>
  </r>
  <r>
    <x v="4"/>
    <n v="63"/>
    <n v="0.70853968253968258"/>
    <n v="968"/>
    <n v="184.98412698412699"/>
    <n v="0.92897301587301562"/>
    <n v="10686"/>
  </r>
  <r>
    <x v="5"/>
    <n v="63"/>
    <n v="0.70895873015873001"/>
    <n v="1135"/>
    <n v="203.96825396825398"/>
    <n v="0.92912380952380957"/>
    <n v="11715"/>
  </r>
  <r>
    <x v="6"/>
    <n v="63"/>
    <n v="0.7121412698412698"/>
    <n v="1222"/>
    <n v="197.4126984126984"/>
    <n v="0.92639523809523827"/>
    <n v="11215"/>
  </r>
  <r>
    <x v="7"/>
    <n v="63"/>
    <n v="0.70077301587301588"/>
    <n v="1186"/>
    <n v="199.88888888888889"/>
    <n v="0.9212666666666669"/>
    <n v="11407"/>
  </r>
  <r>
    <x v="8"/>
    <n v="63"/>
    <n v="0.7080714285714288"/>
    <n v="1074"/>
    <n v="191.22222222222223"/>
    <n v="0.92591111111111113"/>
    <n v="10973"/>
  </r>
  <r>
    <x v="9"/>
    <n v="63"/>
    <n v="0.71985396825396808"/>
    <n v="1041"/>
    <n v="193.28571428571428"/>
    <n v="0.93929047619047623"/>
    <n v="11136"/>
  </r>
  <r>
    <x v="10"/>
    <n v="63"/>
    <n v="0.73197619047619045"/>
    <n v="975"/>
    <n v="179.57142857142858"/>
    <n v="0.93985079365079338"/>
    <n v="10338"/>
  </r>
  <r>
    <x v="11"/>
    <n v="62"/>
    <n v="0.7062806451612903"/>
    <n v="1506"/>
    <n v="199.61290322580646"/>
    <n v="0.92495000000000027"/>
    <n v="10870"/>
  </r>
  <r>
    <x v="12"/>
    <n v="62"/>
    <n v="0.68396774193548393"/>
    <n v="1658"/>
    <n v="197.2741935483871"/>
    <n v="0.91829032258064525"/>
    <n v="10573"/>
  </r>
  <r>
    <x v="13"/>
    <n v="62"/>
    <n v="0.68351774193548409"/>
    <n v="1610"/>
    <n v="212.69354838709677"/>
    <n v="0.92060967741935462"/>
    <n v="11577"/>
  </r>
  <r>
    <x v="14"/>
    <n v="62"/>
    <n v="0.69595806451612907"/>
    <n v="1423"/>
    <n v="194.24193548387098"/>
    <n v="0.91715483870967762"/>
    <n v="10620"/>
  </r>
  <r>
    <x v="15"/>
    <n v="62"/>
    <n v="0.70763387096774155"/>
    <n v="1292"/>
    <n v="190.88709677419354"/>
    <n v="0.92782096774193568"/>
    <n v="10543"/>
  </r>
  <r>
    <x v="16"/>
    <n v="62"/>
    <n v="0.7089983870967741"/>
    <n v="1410"/>
    <n v="193.88709677419354"/>
    <n v="0.9193209677419355"/>
    <n v="10611"/>
  </r>
  <r>
    <x v="17"/>
    <n v="62"/>
    <n v="0.69050967741935509"/>
    <n v="1291"/>
    <n v="198.20967741935485"/>
    <n v="0.92109677419354818"/>
    <n v="10998"/>
  </r>
  <r>
    <x v="18"/>
    <n v="62"/>
    <n v="0.72505806451612886"/>
    <n v="1730"/>
    <n v="204"/>
    <n v="0.92906935483870978"/>
    <n v="10918"/>
  </r>
  <r>
    <x v="19"/>
    <n v="62"/>
    <n v="0.70713548387096781"/>
    <n v="1595"/>
    <n v="204.38709677419354"/>
    <n v="0.93308870967741919"/>
    <n v="110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2CA1F-B62C-41E2-A9F0-3CA3DBF7885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8:B79" firstHeaderRow="1" firstDataRow="1" firstDataCol="1"/>
  <pivotFields count="7">
    <pivotField axis="axisRow" showAll="0">
      <items count="22">
        <item x="11"/>
        <item x="14"/>
        <item x="4"/>
        <item x="15"/>
        <item x="12"/>
        <item x="19"/>
        <item x="17"/>
        <item x="0"/>
        <item x="5"/>
        <item x="18"/>
        <item m="1" x="20"/>
        <item x="16"/>
        <item x="8"/>
        <item x="13"/>
        <item x="1"/>
        <item x="9"/>
        <item x="7"/>
        <item x="10"/>
        <item x="3"/>
        <item x="2"/>
        <item x="6"/>
        <item t="default"/>
      </items>
    </pivotField>
    <pivotField showAll="0"/>
    <pivotField numFmtId="2" showAll="0"/>
    <pivotField dataField="1" numFmtId="2" showAll="0"/>
    <pivotField numFmtId="2" showAll="0"/>
    <pivotField numFmtId="2" showAll="0"/>
    <pivotField numFmtId="2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Sum of Abandoned Calls" fld="3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74F67-B4BC-4570-941A-2002106F22A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4" firstHeaderRow="1" firstDataRow="1" firstDataCol="1"/>
  <pivotFields count="7">
    <pivotField axis="axisRow" showAll="0">
      <items count="22">
        <item x="11"/>
        <item x="14"/>
        <item x="4"/>
        <item x="15"/>
        <item x="12"/>
        <item x="19"/>
        <item x="17"/>
        <item x="0"/>
        <item x="5"/>
        <item x="18"/>
        <item m="1" x="20"/>
        <item x="16"/>
        <item x="8"/>
        <item x="13"/>
        <item x="1"/>
        <item x="9"/>
        <item x="7"/>
        <item x="10"/>
        <item x="3"/>
        <item x="2"/>
        <item x="6"/>
        <item t="default"/>
      </items>
    </pivotField>
    <pivotField showAll="0"/>
    <pivotField numFmtId="2" showAll="0"/>
    <pivotField numFmtId="2" showAll="0"/>
    <pivotField dataField="1" numFmtId="2" showAll="0"/>
    <pivotField numFmtId="2" showAll="0"/>
    <pivotField numFmtId="2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Average of Incoming Calls" fld="4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03AEF-7E7C-4A28-A098-986BF00EDB7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24" firstHeaderRow="1" firstDataRow="1" firstDataCol="1"/>
  <pivotFields count="7">
    <pivotField axis="axisRow" showAll="0">
      <items count="22">
        <item x="11"/>
        <item x="14"/>
        <item x="4"/>
        <item x="15"/>
        <item x="12"/>
        <item x="19"/>
        <item x="17"/>
        <item x="0"/>
        <item x="5"/>
        <item x="18"/>
        <item m="1" x="20"/>
        <item x="16"/>
        <item x="8"/>
        <item x="13"/>
        <item x="1"/>
        <item x="9"/>
        <item x="7"/>
        <item x="10"/>
        <item x="3"/>
        <item x="2"/>
        <item x="6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dataField="1" numFmtId="2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of Total Answered Calls" fld="6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A3008-DF8A-4050-9078-92A4E166351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1:B52" firstHeaderRow="1" firstDataRow="1" firstDataCol="1"/>
  <pivotFields count="7">
    <pivotField axis="axisRow" showAll="0">
      <items count="22">
        <item x="11"/>
        <item x="14"/>
        <item x="4"/>
        <item x="15"/>
        <item x="12"/>
        <item x="19"/>
        <item x="17"/>
        <item x="0"/>
        <item x="5"/>
        <item x="18"/>
        <item m="1" x="20"/>
        <item x="16"/>
        <item x="8"/>
        <item x="13"/>
        <item x="1"/>
        <item x="9"/>
        <item x="7"/>
        <item x="10"/>
        <item x="3"/>
        <item x="2"/>
        <item x="6"/>
        <item t="default"/>
      </items>
    </pivotField>
    <pivotField showAll="0"/>
    <pivotField numFmtId="2" showAll="0"/>
    <pivotField numFmtId="2" showAll="0"/>
    <pivotField numFmtId="2" showAll="0"/>
    <pivotField dataField="1" numFmtId="2" showAll="0"/>
    <pivotField numFmtId="2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Answer Rate %" fld="5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D8EA9-C7D1-4691-869C-E21F0EA3FB6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31:F52" firstHeaderRow="1" firstDataRow="1" firstDataCol="1"/>
  <pivotFields count="7">
    <pivotField axis="axisRow" showAll="0">
      <items count="22">
        <item x="11"/>
        <item x="14"/>
        <item x="4"/>
        <item x="15"/>
        <item x="12"/>
        <item x="19"/>
        <item x="17"/>
        <item x="0"/>
        <item x="5"/>
        <item x="18"/>
        <item m="1" x="20"/>
        <item x="16"/>
        <item x="8"/>
        <item x="13"/>
        <item x="1"/>
        <item x="9"/>
        <item x="7"/>
        <item x="10"/>
        <item x="3"/>
        <item x="2"/>
        <item x="6"/>
        <item t="default"/>
      </items>
    </pivotField>
    <pivotField dataField="1" showAll="0"/>
    <pivotField numFmtId="2" showAll="0"/>
    <pivotField numFmtId="2" showAll="0"/>
    <pivotField numFmtId="2" showAll="0"/>
    <pivotField numFmtId="2" showAll="0"/>
    <pivotField numFmtId="2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Call C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15A548-9E92-4BCD-98DC-5EF09434E8F2}" name="CallDataTable" displayName="CallDataTable" ref="A1:G21" totalsRowShown="0">
  <autoFilter ref="A1:G21" xr:uid="{40C00CA5-0F66-4713-8030-60A6E75D1D13}"/>
  <tableColumns count="7">
    <tableColumn id="1" xr3:uid="{24A36627-C136-405D-BC95-6794124E5806}" name="Customer Care Name"/>
    <tableColumn id="2" xr3:uid="{C02E9DB3-D079-4322-BAAF-C4B53253F893}" name="Call Count"/>
    <tableColumn id="3" xr3:uid="{CCD91788-6802-47BC-B04B-51D799A134C7}" name="Average of Service Level (20 Seconds)" dataDxfId="4"/>
    <tableColumn id="4" xr3:uid="{915C5362-84DD-4D0C-93F6-BBFFA61E128E}" name="Sum of Abandoned Calls" dataDxfId="3"/>
    <tableColumn id="5" xr3:uid="{04C1D135-0741-44E9-8064-B86DFE626AE2}" name="Average of Incoming Calls" dataDxfId="2"/>
    <tableColumn id="6" xr3:uid="{E7AC2E85-C0FC-4F88-9DD5-C0ED4EC0E8F9}" name="Answer Rate %" dataDxfId="1"/>
    <tableColumn id="7" xr3:uid="{F6DF14FA-49D2-4BD2-A746-00F4D3C18B3B}" name="Total Answered Call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A5597-6D62-46B3-8419-8E801027F00F}">
  <dimension ref="A1:I21"/>
  <sheetViews>
    <sheetView topLeftCell="A2" workbookViewId="0">
      <selection activeCell="D28" sqref="D28"/>
    </sheetView>
  </sheetViews>
  <sheetFormatPr defaultRowHeight="15" x14ac:dyDescent="0.25"/>
  <cols>
    <col min="1" max="1" width="22.5703125" customWidth="1"/>
    <col min="2" max="2" width="12.7109375" customWidth="1"/>
    <col min="3" max="3" width="37" customWidth="1"/>
    <col min="4" max="4" width="25" customWidth="1"/>
    <col min="5" max="5" width="26.28515625" customWidth="1"/>
    <col min="6" max="6" width="16.28515625" customWidth="1"/>
    <col min="7" max="7" width="21.85546875" customWidth="1"/>
  </cols>
  <sheetData>
    <row r="1" spans="1:9" x14ac:dyDescent="0.25">
      <c r="A1" t="s">
        <v>7</v>
      </c>
      <c r="B1" t="s">
        <v>6</v>
      </c>
      <c r="C1" t="s">
        <v>3</v>
      </c>
      <c r="D1" t="s">
        <v>1</v>
      </c>
      <c r="E1" t="s">
        <v>2</v>
      </c>
      <c r="F1" t="s">
        <v>4</v>
      </c>
      <c r="G1" t="s">
        <v>5</v>
      </c>
    </row>
    <row r="2" spans="1:9" x14ac:dyDescent="0.25">
      <c r="A2" t="s">
        <v>18</v>
      </c>
      <c r="B2">
        <v>63</v>
      </c>
      <c r="C2" s="2">
        <v>0.7195222222222224</v>
      </c>
      <c r="D2" s="2">
        <v>1541</v>
      </c>
      <c r="E2" s="2">
        <v>209.65079365079364</v>
      </c>
      <c r="F2" s="2">
        <v>0.92816984126984148</v>
      </c>
      <c r="G2" s="2">
        <v>11667</v>
      </c>
      <c r="I2" t="e" cm="1">
        <f t="array" ref="I2">_xlfn.TEXTSPLIT(A9,,,TRUE)</f>
        <v>#VALUE!</v>
      </c>
    </row>
    <row r="3" spans="1:9" x14ac:dyDescent="0.25">
      <c r="A3" t="s">
        <v>24</v>
      </c>
      <c r="B3">
        <v>63</v>
      </c>
      <c r="C3" s="2">
        <v>0.7306269841269839</v>
      </c>
      <c r="D3" s="2">
        <v>1332</v>
      </c>
      <c r="E3" s="2">
        <v>193.33333333333334</v>
      </c>
      <c r="F3" s="2">
        <v>0.93396666666666639</v>
      </c>
      <c r="G3" s="2">
        <v>10848</v>
      </c>
    </row>
    <row r="4" spans="1:9" x14ac:dyDescent="0.25">
      <c r="A4" t="s">
        <v>29</v>
      </c>
      <c r="B4">
        <v>63</v>
      </c>
      <c r="C4" s="2">
        <v>0.71433809523809544</v>
      </c>
      <c r="D4" s="2">
        <v>1516</v>
      </c>
      <c r="E4" s="2">
        <v>205.07936507936509</v>
      </c>
      <c r="F4" s="2">
        <v>0.92811587301587306</v>
      </c>
      <c r="G4" s="2">
        <v>11404</v>
      </c>
    </row>
    <row r="5" spans="1:9" x14ac:dyDescent="0.25">
      <c r="A5" t="s">
        <v>28</v>
      </c>
      <c r="B5">
        <v>63</v>
      </c>
      <c r="C5" s="2">
        <v>0.70961746031746009</v>
      </c>
      <c r="D5" s="2">
        <v>1634</v>
      </c>
      <c r="E5" s="2">
        <v>217.33333333333334</v>
      </c>
      <c r="F5" s="2">
        <v>0.92554761904761906</v>
      </c>
      <c r="G5" s="2">
        <v>12058</v>
      </c>
    </row>
    <row r="6" spans="1:9" x14ac:dyDescent="0.25">
      <c r="A6" t="s">
        <v>13</v>
      </c>
      <c r="B6">
        <v>63</v>
      </c>
      <c r="C6" s="2">
        <v>0.70853968253968258</v>
      </c>
      <c r="D6" s="2">
        <v>968</v>
      </c>
      <c r="E6" s="2">
        <v>184.98412698412699</v>
      </c>
      <c r="F6" s="2">
        <v>0.92897301587301562</v>
      </c>
      <c r="G6" s="2">
        <v>10686</v>
      </c>
    </row>
    <row r="7" spans="1:9" x14ac:dyDescent="0.25">
      <c r="A7" t="s">
        <v>19</v>
      </c>
      <c r="B7">
        <v>63</v>
      </c>
      <c r="C7" s="2">
        <v>0.70895873015873001</v>
      </c>
      <c r="D7" s="2">
        <v>1135</v>
      </c>
      <c r="E7" s="2">
        <v>203.96825396825398</v>
      </c>
      <c r="F7" s="2">
        <v>0.92912380952380957</v>
      </c>
      <c r="G7" s="2">
        <v>11715</v>
      </c>
    </row>
    <row r="8" spans="1:9" x14ac:dyDescent="0.25">
      <c r="A8" t="s">
        <v>30</v>
      </c>
      <c r="B8">
        <v>63</v>
      </c>
      <c r="C8" s="2">
        <v>0.7121412698412698</v>
      </c>
      <c r="D8" s="2">
        <v>1222</v>
      </c>
      <c r="E8" s="2">
        <v>197.4126984126984</v>
      </c>
      <c r="F8" s="2">
        <v>0.92639523809523827</v>
      </c>
      <c r="G8" s="2">
        <v>11215</v>
      </c>
    </row>
    <row r="9" spans="1:9" x14ac:dyDescent="0.25">
      <c r="A9" t="s">
        <v>26</v>
      </c>
      <c r="B9">
        <v>63</v>
      </c>
      <c r="C9" s="2">
        <v>0.70077301587301588</v>
      </c>
      <c r="D9" s="2">
        <v>1186</v>
      </c>
      <c r="E9" s="2">
        <v>199.88888888888889</v>
      </c>
      <c r="F9" s="2">
        <v>0.9212666666666669</v>
      </c>
      <c r="G9" s="2">
        <v>11407</v>
      </c>
    </row>
    <row r="10" spans="1:9" x14ac:dyDescent="0.25">
      <c r="A10" t="s">
        <v>22</v>
      </c>
      <c r="B10">
        <v>63</v>
      </c>
      <c r="C10" s="2">
        <v>0.7080714285714288</v>
      </c>
      <c r="D10" s="2">
        <v>1074</v>
      </c>
      <c r="E10" s="2">
        <v>191.22222222222223</v>
      </c>
      <c r="F10" s="2">
        <v>0.92591111111111113</v>
      </c>
      <c r="G10" s="2">
        <v>10973</v>
      </c>
    </row>
    <row r="11" spans="1:9" x14ac:dyDescent="0.25">
      <c r="A11" t="s">
        <v>25</v>
      </c>
      <c r="B11">
        <v>63</v>
      </c>
      <c r="C11" s="2">
        <v>0.71985396825396808</v>
      </c>
      <c r="D11" s="2">
        <v>1041</v>
      </c>
      <c r="E11" s="2">
        <v>193.28571428571428</v>
      </c>
      <c r="F11" s="2">
        <v>0.93929047619047623</v>
      </c>
      <c r="G11" s="2">
        <v>11136</v>
      </c>
    </row>
    <row r="12" spans="1:9" x14ac:dyDescent="0.25">
      <c r="A12" t="s">
        <v>27</v>
      </c>
      <c r="B12">
        <v>63</v>
      </c>
      <c r="C12" s="2">
        <v>0.73197619047619045</v>
      </c>
      <c r="D12" s="2">
        <v>975</v>
      </c>
      <c r="E12" s="2">
        <v>179.57142857142858</v>
      </c>
      <c r="F12" s="2">
        <v>0.93985079365079338</v>
      </c>
      <c r="G12" s="2">
        <v>10338</v>
      </c>
    </row>
    <row r="13" spans="1:9" x14ac:dyDescent="0.25">
      <c r="A13" t="s">
        <v>11</v>
      </c>
      <c r="B13">
        <v>62</v>
      </c>
      <c r="C13" s="2">
        <v>0.7062806451612903</v>
      </c>
      <c r="D13" s="2">
        <v>1506</v>
      </c>
      <c r="E13" s="2">
        <v>199.61290322580646</v>
      </c>
      <c r="F13" s="2">
        <v>0.92495000000000027</v>
      </c>
      <c r="G13" s="2">
        <v>10870</v>
      </c>
    </row>
    <row r="14" spans="1:9" x14ac:dyDescent="0.25">
      <c r="A14" t="s">
        <v>15</v>
      </c>
      <c r="B14">
        <v>62</v>
      </c>
      <c r="C14" s="2">
        <v>0.68396774193548393</v>
      </c>
      <c r="D14" s="2">
        <v>1658</v>
      </c>
      <c r="E14" s="2">
        <v>197.2741935483871</v>
      </c>
      <c r="F14" s="2">
        <v>0.91829032258064525</v>
      </c>
      <c r="G14" s="2">
        <v>10573</v>
      </c>
    </row>
    <row r="15" spans="1:9" x14ac:dyDescent="0.25">
      <c r="A15" t="s">
        <v>23</v>
      </c>
      <c r="B15">
        <v>62</v>
      </c>
      <c r="C15" s="2">
        <v>0.68351774193548409</v>
      </c>
      <c r="D15" s="2">
        <v>1610</v>
      </c>
      <c r="E15" s="2">
        <v>212.69354838709677</v>
      </c>
      <c r="F15" s="2">
        <v>0.92060967741935462</v>
      </c>
      <c r="G15" s="2">
        <v>11577</v>
      </c>
    </row>
    <row r="16" spans="1:9" x14ac:dyDescent="0.25">
      <c r="A16" t="s">
        <v>12</v>
      </c>
      <c r="B16">
        <v>62</v>
      </c>
      <c r="C16" s="2">
        <v>0.69595806451612907</v>
      </c>
      <c r="D16" s="2">
        <v>1423</v>
      </c>
      <c r="E16" s="2">
        <v>194.24193548387098</v>
      </c>
      <c r="F16" s="2">
        <v>0.91715483870967762</v>
      </c>
      <c r="G16" s="2">
        <v>10620</v>
      </c>
    </row>
    <row r="17" spans="1:7" x14ac:dyDescent="0.25">
      <c r="A17" t="s">
        <v>14</v>
      </c>
      <c r="B17">
        <v>62</v>
      </c>
      <c r="C17" s="2">
        <v>0.70763387096774155</v>
      </c>
      <c r="D17" s="2">
        <v>1292</v>
      </c>
      <c r="E17" s="2">
        <v>190.88709677419354</v>
      </c>
      <c r="F17" s="2">
        <v>0.92782096774193568</v>
      </c>
      <c r="G17" s="2">
        <v>10543</v>
      </c>
    </row>
    <row r="18" spans="1:7" x14ac:dyDescent="0.25">
      <c r="A18" t="s">
        <v>21</v>
      </c>
      <c r="B18">
        <v>62</v>
      </c>
      <c r="C18" s="2">
        <v>0.7089983870967741</v>
      </c>
      <c r="D18" s="2">
        <v>1410</v>
      </c>
      <c r="E18" s="2">
        <v>193.88709677419354</v>
      </c>
      <c r="F18" s="2">
        <v>0.9193209677419355</v>
      </c>
      <c r="G18" s="2">
        <v>10611</v>
      </c>
    </row>
    <row r="19" spans="1:7" x14ac:dyDescent="0.25">
      <c r="A19" t="s">
        <v>17</v>
      </c>
      <c r="B19">
        <v>62</v>
      </c>
      <c r="C19" s="2">
        <v>0.69050967741935509</v>
      </c>
      <c r="D19" s="2">
        <v>1291</v>
      </c>
      <c r="E19" s="2">
        <v>198.20967741935485</v>
      </c>
      <c r="F19" s="2">
        <v>0.92109677419354818</v>
      </c>
      <c r="G19" s="2">
        <v>10998</v>
      </c>
    </row>
    <row r="20" spans="1:7" x14ac:dyDescent="0.25">
      <c r="A20" t="s">
        <v>20</v>
      </c>
      <c r="B20">
        <v>62</v>
      </c>
      <c r="C20" s="2">
        <v>0.72505806451612886</v>
      </c>
      <c r="D20" s="2">
        <v>1730</v>
      </c>
      <c r="E20" s="2">
        <v>204</v>
      </c>
      <c r="F20" s="2">
        <v>0.92906935483870978</v>
      </c>
      <c r="G20" s="2">
        <v>10918</v>
      </c>
    </row>
    <row r="21" spans="1:7" x14ac:dyDescent="0.25">
      <c r="A21" t="s">
        <v>16</v>
      </c>
      <c r="B21">
        <v>62</v>
      </c>
      <c r="C21" s="2">
        <v>0.70713548387096781</v>
      </c>
      <c r="D21" s="2">
        <v>1595</v>
      </c>
      <c r="E21" s="2">
        <v>204.38709677419354</v>
      </c>
      <c r="F21" s="2">
        <v>0.93308870967741919</v>
      </c>
      <c r="G21" s="2">
        <v>11077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534A-C799-4651-8372-E45EB8DBBE01}">
  <dimension ref="A3:F79"/>
  <sheetViews>
    <sheetView zoomScale="85" zoomScaleNormal="85" workbookViewId="0">
      <selection activeCell="D28" sqref="D28"/>
    </sheetView>
  </sheetViews>
  <sheetFormatPr defaultRowHeight="15" x14ac:dyDescent="0.25"/>
  <cols>
    <col min="1" max="1" width="16.5703125" bestFit="1" customWidth="1"/>
    <col min="2" max="2" width="31.5703125" bestFit="1" customWidth="1"/>
    <col min="3" max="3" width="30.28515625" bestFit="1" customWidth="1"/>
    <col min="4" max="4" width="16.5703125" bestFit="1" customWidth="1"/>
    <col min="5" max="5" width="30.28515625" bestFit="1" customWidth="1"/>
    <col min="6" max="6" width="17.5703125" bestFit="1" customWidth="1"/>
  </cols>
  <sheetData>
    <row r="3" spans="1:5" x14ac:dyDescent="0.25">
      <c r="A3" t="s">
        <v>8</v>
      </c>
      <c r="B3" t="s">
        <v>9</v>
      </c>
      <c r="D3" t="s">
        <v>8</v>
      </c>
      <c r="E3" t="s">
        <v>10</v>
      </c>
    </row>
    <row r="4" spans="1:5" x14ac:dyDescent="0.25">
      <c r="A4" s="1" t="s">
        <v>11</v>
      </c>
      <c r="B4" s="2">
        <v>199.61290322580646</v>
      </c>
      <c r="D4" s="1" t="s">
        <v>11</v>
      </c>
      <c r="E4" s="2">
        <v>10870</v>
      </c>
    </row>
    <row r="5" spans="1:5" x14ac:dyDescent="0.25">
      <c r="A5" s="1" t="s">
        <v>12</v>
      </c>
      <c r="B5" s="2">
        <v>194.24193548387098</v>
      </c>
      <c r="D5" s="1" t="s">
        <v>12</v>
      </c>
      <c r="E5" s="2">
        <v>10620</v>
      </c>
    </row>
    <row r="6" spans="1:5" x14ac:dyDescent="0.25">
      <c r="A6" s="1" t="s">
        <v>13</v>
      </c>
      <c r="B6" s="2">
        <v>184.98412698412699</v>
      </c>
      <c r="D6" s="1" t="s">
        <v>13</v>
      </c>
      <c r="E6" s="2">
        <v>10686</v>
      </c>
    </row>
    <row r="7" spans="1:5" x14ac:dyDescent="0.25">
      <c r="A7" s="1" t="s">
        <v>14</v>
      </c>
      <c r="B7" s="2">
        <v>190.88709677419354</v>
      </c>
      <c r="D7" s="1" t="s">
        <v>14</v>
      </c>
      <c r="E7" s="2">
        <v>10543</v>
      </c>
    </row>
    <row r="8" spans="1:5" x14ac:dyDescent="0.25">
      <c r="A8" s="1" t="s">
        <v>15</v>
      </c>
      <c r="B8" s="2">
        <v>197.2741935483871</v>
      </c>
      <c r="D8" s="1" t="s">
        <v>15</v>
      </c>
      <c r="E8" s="2">
        <v>10573</v>
      </c>
    </row>
    <row r="9" spans="1:5" x14ac:dyDescent="0.25">
      <c r="A9" s="1" t="s">
        <v>16</v>
      </c>
      <c r="B9" s="2">
        <v>204.38709677419354</v>
      </c>
      <c r="D9" s="1" t="s">
        <v>16</v>
      </c>
      <c r="E9" s="2">
        <v>11077</v>
      </c>
    </row>
    <row r="10" spans="1:5" x14ac:dyDescent="0.25">
      <c r="A10" s="1" t="s">
        <v>17</v>
      </c>
      <c r="B10" s="2">
        <v>198.20967741935485</v>
      </c>
      <c r="D10" s="1" t="s">
        <v>17</v>
      </c>
      <c r="E10" s="2">
        <v>10998</v>
      </c>
    </row>
    <row r="11" spans="1:5" x14ac:dyDescent="0.25">
      <c r="A11" s="1" t="s">
        <v>18</v>
      </c>
      <c r="B11" s="2">
        <v>209.65079365079364</v>
      </c>
      <c r="D11" s="1" t="s">
        <v>18</v>
      </c>
      <c r="E11" s="2">
        <v>11667</v>
      </c>
    </row>
    <row r="12" spans="1:5" x14ac:dyDescent="0.25">
      <c r="A12" s="1" t="s">
        <v>19</v>
      </c>
      <c r="B12" s="2">
        <v>203.96825396825398</v>
      </c>
      <c r="D12" s="1" t="s">
        <v>19</v>
      </c>
      <c r="E12" s="2">
        <v>11715</v>
      </c>
    </row>
    <row r="13" spans="1:5" x14ac:dyDescent="0.25">
      <c r="A13" s="1" t="s">
        <v>20</v>
      </c>
      <c r="B13" s="2">
        <v>204</v>
      </c>
      <c r="D13" s="1" t="s">
        <v>20</v>
      </c>
      <c r="E13" s="2">
        <v>10918</v>
      </c>
    </row>
    <row r="14" spans="1:5" x14ac:dyDescent="0.25">
      <c r="A14" s="1" t="s">
        <v>21</v>
      </c>
      <c r="B14" s="2">
        <v>193.88709677419354</v>
      </c>
      <c r="D14" s="1" t="s">
        <v>21</v>
      </c>
      <c r="E14" s="2">
        <v>10611</v>
      </c>
    </row>
    <row r="15" spans="1:5" x14ac:dyDescent="0.25">
      <c r="A15" s="1" t="s">
        <v>22</v>
      </c>
      <c r="B15" s="2">
        <v>191.22222222222223</v>
      </c>
      <c r="D15" s="1" t="s">
        <v>22</v>
      </c>
      <c r="E15" s="2">
        <v>10973</v>
      </c>
    </row>
    <row r="16" spans="1:5" x14ac:dyDescent="0.25">
      <c r="A16" s="1" t="s">
        <v>23</v>
      </c>
      <c r="B16" s="2">
        <v>212.69354838709677</v>
      </c>
      <c r="D16" s="1" t="s">
        <v>23</v>
      </c>
      <c r="E16" s="2">
        <v>11577</v>
      </c>
    </row>
    <row r="17" spans="1:6" x14ac:dyDescent="0.25">
      <c r="A17" s="1" t="s">
        <v>24</v>
      </c>
      <c r="B17" s="2">
        <v>193.33333333333334</v>
      </c>
      <c r="D17" s="1" t="s">
        <v>24</v>
      </c>
      <c r="E17" s="2">
        <v>10848</v>
      </c>
    </row>
    <row r="18" spans="1:6" x14ac:dyDescent="0.25">
      <c r="A18" s="1" t="s">
        <v>25</v>
      </c>
      <c r="B18" s="2">
        <v>193.28571428571428</v>
      </c>
      <c r="D18" s="1" t="s">
        <v>25</v>
      </c>
      <c r="E18" s="2">
        <v>11136</v>
      </c>
    </row>
    <row r="19" spans="1:6" x14ac:dyDescent="0.25">
      <c r="A19" s="1" t="s">
        <v>26</v>
      </c>
      <c r="B19" s="2">
        <v>199.88888888888889</v>
      </c>
      <c r="D19" s="1" t="s">
        <v>26</v>
      </c>
      <c r="E19" s="2">
        <v>11407</v>
      </c>
    </row>
    <row r="20" spans="1:6" x14ac:dyDescent="0.25">
      <c r="A20" s="1" t="s">
        <v>27</v>
      </c>
      <c r="B20" s="2">
        <v>179.57142857142858</v>
      </c>
      <c r="D20" s="1" t="s">
        <v>27</v>
      </c>
      <c r="E20" s="2">
        <v>10338</v>
      </c>
    </row>
    <row r="21" spans="1:6" x14ac:dyDescent="0.25">
      <c r="A21" s="1" t="s">
        <v>28</v>
      </c>
      <c r="B21" s="2">
        <v>217.33333333333334</v>
      </c>
      <c r="D21" s="1" t="s">
        <v>28</v>
      </c>
      <c r="E21" s="2">
        <v>12058</v>
      </c>
    </row>
    <row r="22" spans="1:6" x14ac:dyDescent="0.25">
      <c r="A22" s="1" t="s">
        <v>29</v>
      </c>
      <c r="B22" s="2">
        <v>205.07936507936509</v>
      </c>
      <c r="D22" s="1" t="s">
        <v>29</v>
      </c>
      <c r="E22" s="2">
        <v>11404</v>
      </c>
    </row>
    <row r="23" spans="1:6" x14ac:dyDescent="0.25">
      <c r="A23" s="1" t="s">
        <v>30</v>
      </c>
      <c r="B23" s="2">
        <v>197.4126984126984</v>
      </c>
      <c r="D23" s="1" t="s">
        <v>30</v>
      </c>
      <c r="E23" s="2">
        <v>11215</v>
      </c>
    </row>
    <row r="24" spans="1:6" x14ac:dyDescent="0.25">
      <c r="A24" s="1" t="s">
        <v>0</v>
      </c>
      <c r="B24" s="2">
        <v>3970.9237071172552</v>
      </c>
      <c r="D24" s="1" t="s">
        <v>0</v>
      </c>
      <c r="E24" s="2">
        <v>11061.7</v>
      </c>
    </row>
    <row r="31" spans="1:6" x14ac:dyDescent="0.25">
      <c r="A31" t="s">
        <v>8</v>
      </c>
      <c r="B31" t="s">
        <v>31</v>
      </c>
      <c r="E31" t="s">
        <v>8</v>
      </c>
      <c r="F31" t="s">
        <v>32</v>
      </c>
    </row>
    <row r="32" spans="1:6" x14ac:dyDescent="0.25">
      <c r="A32" s="1" t="s">
        <v>11</v>
      </c>
      <c r="B32" s="2">
        <v>0.92495000000000027</v>
      </c>
      <c r="E32" s="1" t="s">
        <v>11</v>
      </c>
      <c r="F32">
        <v>62</v>
      </c>
    </row>
    <row r="33" spans="1:6" x14ac:dyDescent="0.25">
      <c r="A33" s="1" t="s">
        <v>12</v>
      </c>
      <c r="B33" s="2">
        <v>0.91715483870967762</v>
      </c>
      <c r="E33" s="1" t="s">
        <v>12</v>
      </c>
      <c r="F33">
        <v>62</v>
      </c>
    </row>
    <row r="34" spans="1:6" x14ac:dyDescent="0.25">
      <c r="A34" s="1" t="s">
        <v>13</v>
      </c>
      <c r="B34" s="2">
        <v>0.92897301587301562</v>
      </c>
      <c r="E34" s="1" t="s">
        <v>13</v>
      </c>
      <c r="F34">
        <v>63</v>
      </c>
    </row>
    <row r="35" spans="1:6" x14ac:dyDescent="0.25">
      <c r="A35" s="1" t="s">
        <v>14</v>
      </c>
      <c r="B35" s="2">
        <v>0.92782096774193568</v>
      </c>
      <c r="E35" s="1" t="s">
        <v>14</v>
      </c>
      <c r="F35">
        <v>62</v>
      </c>
    </row>
    <row r="36" spans="1:6" x14ac:dyDescent="0.25">
      <c r="A36" s="1" t="s">
        <v>15</v>
      </c>
      <c r="B36" s="2">
        <v>0.91829032258064525</v>
      </c>
      <c r="E36" s="1" t="s">
        <v>15</v>
      </c>
      <c r="F36">
        <v>62</v>
      </c>
    </row>
    <row r="37" spans="1:6" x14ac:dyDescent="0.25">
      <c r="A37" s="1" t="s">
        <v>16</v>
      </c>
      <c r="B37" s="2">
        <v>0.93308870967741919</v>
      </c>
      <c r="E37" s="1" t="s">
        <v>16</v>
      </c>
      <c r="F37">
        <v>62</v>
      </c>
    </row>
    <row r="38" spans="1:6" x14ac:dyDescent="0.25">
      <c r="A38" s="1" t="s">
        <v>17</v>
      </c>
      <c r="B38" s="2">
        <v>0.92109677419354818</v>
      </c>
      <c r="E38" s="1" t="s">
        <v>17</v>
      </c>
      <c r="F38">
        <v>62</v>
      </c>
    </row>
    <row r="39" spans="1:6" x14ac:dyDescent="0.25">
      <c r="A39" s="1" t="s">
        <v>18</v>
      </c>
      <c r="B39" s="2">
        <v>0.92816984126984148</v>
      </c>
      <c r="E39" s="1" t="s">
        <v>18</v>
      </c>
      <c r="F39">
        <v>63</v>
      </c>
    </row>
    <row r="40" spans="1:6" x14ac:dyDescent="0.25">
      <c r="A40" s="1" t="s">
        <v>19</v>
      </c>
      <c r="B40" s="2">
        <v>0.92912380952380957</v>
      </c>
      <c r="E40" s="1" t="s">
        <v>19</v>
      </c>
      <c r="F40">
        <v>63</v>
      </c>
    </row>
    <row r="41" spans="1:6" x14ac:dyDescent="0.25">
      <c r="A41" s="1" t="s">
        <v>20</v>
      </c>
      <c r="B41" s="2">
        <v>0.92906935483870978</v>
      </c>
      <c r="E41" s="1" t="s">
        <v>20</v>
      </c>
      <c r="F41">
        <v>62</v>
      </c>
    </row>
    <row r="42" spans="1:6" x14ac:dyDescent="0.25">
      <c r="A42" s="1" t="s">
        <v>21</v>
      </c>
      <c r="B42" s="2">
        <v>0.9193209677419355</v>
      </c>
      <c r="E42" s="1" t="s">
        <v>21</v>
      </c>
      <c r="F42">
        <v>62</v>
      </c>
    </row>
    <row r="43" spans="1:6" x14ac:dyDescent="0.25">
      <c r="A43" s="1" t="s">
        <v>22</v>
      </c>
      <c r="B43" s="2">
        <v>0.92591111111111113</v>
      </c>
      <c r="E43" s="1" t="s">
        <v>22</v>
      </c>
      <c r="F43">
        <v>63</v>
      </c>
    </row>
    <row r="44" spans="1:6" x14ac:dyDescent="0.25">
      <c r="A44" s="1" t="s">
        <v>23</v>
      </c>
      <c r="B44" s="2">
        <v>0.92060967741935462</v>
      </c>
      <c r="E44" s="1" t="s">
        <v>23</v>
      </c>
      <c r="F44">
        <v>62</v>
      </c>
    </row>
    <row r="45" spans="1:6" x14ac:dyDescent="0.25">
      <c r="A45" s="1" t="s">
        <v>24</v>
      </c>
      <c r="B45" s="2">
        <v>0.93396666666666639</v>
      </c>
      <c r="E45" s="1" t="s">
        <v>24</v>
      </c>
      <c r="F45">
        <v>63</v>
      </c>
    </row>
    <row r="46" spans="1:6" x14ac:dyDescent="0.25">
      <c r="A46" s="1" t="s">
        <v>25</v>
      </c>
      <c r="B46" s="2">
        <v>0.93929047619047623</v>
      </c>
      <c r="E46" s="1" t="s">
        <v>25</v>
      </c>
      <c r="F46">
        <v>63</v>
      </c>
    </row>
    <row r="47" spans="1:6" x14ac:dyDescent="0.25">
      <c r="A47" s="1" t="s">
        <v>26</v>
      </c>
      <c r="B47" s="2">
        <v>0.9212666666666669</v>
      </c>
      <c r="E47" s="1" t="s">
        <v>26</v>
      </c>
      <c r="F47">
        <v>63</v>
      </c>
    </row>
    <row r="48" spans="1:6" x14ac:dyDescent="0.25">
      <c r="A48" s="1" t="s">
        <v>27</v>
      </c>
      <c r="B48" s="2">
        <v>0.93985079365079338</v>
      </c>
      <c r="E48" s="1" t="s">
        <v>27</v>
      </c>
      <c r="F48">
        <v>63</v>
      </c>
    </row>
    <row r="49" spans="1:6" x14ac:dyDescent="0.25">
      <c r="A49" s="1" t="s">
        <v>28</v>
      </c>
      <c r="B49" s="2">
        <v>0.92554761904761906</v>
      </c>
      <c r="E49" s="1" t="s">
        <v>28</v>
      </c>
      <c r="F49">
        <v>63</v>
      </c>
    </row>
    <row r="50" spans="1:6" x14ac:dyDescent="0.25">
      <c r="A50" s="1" t="s">
        <v>29</v>
      </c>
      <c r="B50" s="2">
        <v>0.92811587301587306</v>
      </c>
      <c r="E50" s="1" t="s">
        <v>29</v>
      </c>
      <c r="F50">
        <v>63</v>
      </c>
    </row>
    <row r="51" spans="1:6" x14ac:dyDescent="0.25">
      <c r="A51" s="1" t="s">
        <v>30</v>
      </c>
      <c r="B51" s="2">
        <v>0.92639523809523827</v>
      </c>
      <c r="E51" s="1" t="s">
        <v>30</v>
      </c>
      <c r="F51">
        <v>63</v>
      </c>
    </row>
    <row r="52" spans="1:6" x14ac:dyDescent="0.25">
      <c r="A52" s="1" t="s">
        <v>0</v>
      </c>
      <c r="B52" s="2">
        <v>18.538012724014337</v>
      </c>
      <c r="E52" s="1" t="s">
        <v>0</v>
      </c>
      <c r="F52">
        <v>1251</v>
      </c>
    </row>
    <row r="58" spans="1:6" x14ac:dyDescent="0.25">
      <c r="A58" t="s">
        <v>8</v>
      </c>
      <c r="B58" t="s">
        <v>33</v>
      </c>
    </row>
    <row r="59" spans="1:6" x14ac:dyDescent="0.25">
      <c r="A59" s="1" t="s">
        <v>11</v>
      </c>
      <c r="B59" s="2">
        <v>1506</v>
      </c>
    </row>
    <row r="60" spans="1:6" x14ac:dyDescent="0.25">
      <c r="A60" s="1" t="s">
        <v>12</v>
      </c>
      <c r="B60" s="2">
        <v>1423</v>
      </c>
    </row>
    <row r="61" spans="1:6" x14ac:dyDescent="0.25">
      <c r="A61" s="1" t="s">
        <v>13</v>
      </c>
      <c r="B61" s="2">
        <v>968</v>
      </c>
    </row>
    <row r="62" spans="1:6" x14ac:dyDescent="0.25">
      <c r="A62" s="1" t="s">
        <v>14</v>
      </c>
      <c r="B62" s="2">
        <v>1292</v>
      </c>
    </row>
    <row r="63" spans="1:6" x14ac:dyDescent="0.25">
      <c r="A63" s="1" t="s">
        <v>15</v>
      </c>
      <c r="B63" s="2">
        <v>1658</v>
      </c>
    </row>
    <row r="64" spans="1:6" x14ac:dyDescent="0.25">
      <c r="A64" s="1" t="s">
        <v>16</v>
      </c>
      <c r="B64" s="2">
        <v>1595</v>
      </c>
    </row>
    <row r="65" spans="1:2" x14ac:dyDescent="0.25">
      <c r="A65" s="1" t="s">
        <v>17</v>
      </c>
      <c r="B65" s="2">
        <v>1291</v>
      </c>
    </row>
    <row r="66" spans="1:2" x14ac:dyDescent="0.25">
      <c r="A66" s="1" t="s">
        <v>18</v>
      </c>
      <c r="B66" s="2">
        <v>1541</v>
      </c>
    </row>
    <row r="67" spans="1:2" x14ac:dyDescent="0.25">
      <c r="A67" s="1" t="s">
        <v>19</v>
      </c>
      <c r="B67" s="2">
        <v>1135</v>
      </c>
    </row>
    <row r="68" spans="1:2" x14ac:dyDescent="0.25">
      <c r="A68" s="1" t="s">
        <v>20</v>
      </c>
      <c r="B68" s="2">
        <v>1730</v>
      </c>
    </row>
    <row r="69" spans="1:2" x14ac:dyDescent="0.25">
      <c r="A69" s="1" t="s">
        <v>21</v>
      </c>
      <c r="B69" s="2">
        <v>1410</v>
      </c>
    </row>
    <row r="70" spans="1:2" x14ac:dyDescent="0.25">
      <c r="A70" s="1" t="s">
        <v>22</v>
      </c>
      <c r="B70" s="2">
        <v>1074</v>
      </c>
    </row>
    <row r="71" spans="1:2" x14ac:dyDescent="0.25">
      <c r="A71" s="1" t="s">
        <v>23</v>
      </c>
      <c r="B71" s="2">
        <v>1610</v>
      </c>
    </row>
    <row r="72" spans="1:2" x14ac:dyDescent="0.25">
      <c r="A72" s="1" t="s">
        <v>24</v>
      </c>
      <c r="B72" s="2">
        <v>1332</v>
      </c>
    </row>
    <row r="73" spans="1:2" x14ac:dyDescent="0.25">
      <c r="A73" s="1" t="s">
        <v>25</v>
      </c>
      <c r="B73" s="2">
        <v>1041</v>
      </c>
    </row>
    <row r="74" spans="1:2" x14ac:dyDescent="0.25">
      <c r="A74" s="1" t="s">
        <v>26</v>
      </c>
      <c r="B74" s="2">
        <v>1186</v>
      </c>
    </row>
    <row r="75" spans="1:2" x14ac:dyDescent="0.25">
      <c r="A75" s="1" t="s">
        <v>27</v>
      </c>
      <c r="B75" s="2">
        <v>975</v>
      </c>
    </row>
    <row r="76" spans="1:2" x14ac:dyDescent="0.25">
      <c r="A76" s="1" t="s">
        <v>28</v>
      </c>
      <c r="B76" s="2">
        <v>1634</v>
      </c>
    </row>
    <row r="77" spans="1:2" x14ac:dyDescent="0.25">
      <c r="A77" s="1" t="s">
        <v>29</v>
      </c>
      <c r="B77" s="2">
        <v>1516</v>
      </c>
    </row>
    <row r="78" spans="1:2" x14ac:dyDescent="0.25">
      <c r="A78" s="1" t="s">
        <v>30</v>
      </c>
      <c r="B78" s="2">
        <v>1222</v>
      </c>
    </row>
    <row r="79" spans="1:2" x14ac:dyDescent="0.25">
      <c r="A79" s="1" t="s">
        <v>0</v>
      </c>
      <c r="B79" s="2">
        <v>27139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31FE-5C82-461C-AD59-E9A53BC4C40C}">
  <dimension ref="A1:O34"/>
  <sheetViews>
    <sheetView tabSelected="1" view="pageBreakPreview" zoomScale="82" zoomScaleNormal="100" zoomScaleSheetLayoutView="82" workbookViewId="0">
      <selection activeCell="D28" sqref="D28"/>
    </sheetView>
  </sheetViews>
  <sheetFormatPr defaultRowHeight="15" x14ac:dyDescent="0.25"/>
  <cols>
    <col min="1" max="1" width="5.140625" style="3" customWidth="1"/>
    <col min="2" max="6" width="9.140625" style="3"/>
    <col min="7" max="7" width="12" style="3" customWidth="1"/>
    <col min="8" max="8" width="6.85546875" style="3" customWidth="1"/>
    <col min="9" max="16384" width="9.140625" style="3"/>
  </cols>
  <sheetData>
    <row r="1" spans="1:15" ht="15" customHeight="1" x14ac:dyDescent="0.25">
      <c r="A1" s="5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</sheetData>
  <mergeCells count="1">
    <mergeCell ref="A1:O3"/>
  </mergeCells>
  <pageMargins left="0.7" right="0.7" top="0.75" bottom="0.75" header="0.3" footer="0.3"/>
  <pageSetup paperSize="9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 Table</vt:lpstr>
      <vt:lpstr>Dashbord</vt:lpstr>
      <vt:lpstr>Dashbord!Print_Area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Auwal Abdulaziz</dc:creator>
  <cp:lastModifiedBy>Muhammad Auwal Abdulaziz</cp:lastModifiedBy>
  <dcterms:created xsi:type="dcterms:W3CDTF">2025-04-21T21:21:46Z</dcterms:created>
  <dcterms:modified xsi:type="dcterms:W3CDTF">2025-05-08T12:41:31Z</dcterms:modified>
</cp:coreProperties>
</file>